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IR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#,##0.00 €"/>
    <numFmt numFmtId="166" formatCode="0.0000"/>
  </numFmts>
  <fonts count="22">
    <font>
      <name val="Calibri"/>
      <family val="2"/>
      <color theme="1"/>
      <sz val="11"/>
      <scheme val="minor"/>
    </font>
    <font>
      <name val="Calibri"/>
      <b val="1"/>
      <color rgb="00E8C84A"/>
      <sz val="16"/>
    </font>
    <font>
      <name val="Calibri"/>
      <b val="1"/>
      <color rgb="00E8C84A"/>
      <sz val="12"/>
    </font>
    <font>
      <name val="Calibri"/>
      <color rgb="00000000"/>
      <sz val="11"/>
    </font>
    <font>
      <name val="Calibri"/>
      <b val="1"/>
      <color rgb="001A1A2E"/>
      <sz val="11"/>
    </font>
    <font>
      <name val="Calibri"/>
      <color rgb="00555555"/>
      <sz val="11"/>
    </font>
    <font>
      <name val="Calibri"/>
      <b val="1"/>
      <color rgb="00FFFFFF"/>
      <sz val="12"/>
    </font>
    <font>
      <name val="Calibri"/>
      <color rgb="001A1A2E"/>
      <sz val="11"/>
    </font>
    <font>
      <name val="Calibri"/>
      <b val="1"/>
      <color rgb="0028A745"/>
      <sz val="11"/>
    </font>
    <font>
      <name val="Calibri"/>
      <b val="1"/>
      <color rgb="001565C0"/>
      <sz val="11"/>
    </font>
    <font>
      <name val="Calibri"/>
      <b val="1"/>
      <color rgb="00E65100"/>
      <sz val="11"/>
    </font>
    <font>
      <name val="Calibri"/>
      <b val="1"/>
      <color rgb="00E8C84A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DC3545"/>
      <sz val="11"/>
    </font>
    <font>
      <name val="Calibri"/>
      <sz val="11"/>
    </font>
    <font>
      <name val="Calibri"/>
      <b val="1"/>
      <color rgb="001A5E20"/>
      <sz val="11"/>
    </font>
    <font>
      <name val="Calibri"/>
      <b val="1"/>
      <color rgb="0028A745"/>
      <sz val="12"/>
    </font>
    <font>
      <name val="Calibri"/>
      <b val="1"/>
      <color rgb="001565C0"/>
      <sz val="12"/>
    </font>
    <font>
      <name val="Calibri"/>
      <b val="1"/>
      <color rgb="00E65100"/>
      <sz val="12"/>
    </font>
    <font>
      <name val="Calibri"/>
      <b val="1"/>
      <color rgb="001A1A2E"/>
      <sz val="12"/>
    </font>
    <font>
      <name val="Calibri"/>
      <i val="1"/>
      <color rgb="00444444"/>
      <sz val="10"/>
    </font>
  </fonts>
  <fills count="2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CF0F1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FFF8E1"/>
      </patternFill>
    </fill>
    <fill>
      <patternFill patternType="solid">
        <fgColor rgb="00FFECB3"/>
      </patternFill>
    </fill>
    <fill>
      <patternFill patternType="solid">
        <fgColor rgb="00FFF176"/>
      </patternFill>
    </fill>
    <fill>
      <patternFill patternType="solid">
        <fgColor rgb="0028A745"/>
      </patternFill>
    </fill>
    <fill>
      <patternFill patternType="solid">
        <fgColor rgb="001565C0"/>
      </patternFill>
    </fill>
    <fill>
      <patternFill patternType="solid">
        <fgColor rgb="00E65100"/>
      </patternFill>
    </fill>
    <fill>
      <patternFill patternType="solid">
        <fgColor rgb="00E8C84A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1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10" fontId="3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10" fontId="8" fillId="9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10" fontId="9" fillId="11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 wrapText="1"/>
    </xf>
    <xf numFmtId="10" fontId="10" fillId="13" borderId="1" applyAlignment="1" pivotButton="0" quotePrefix="0" xfId="0">
      <alignment horizontal="center" vertical="center" wrapText="1"/>
    </xf>
    <xf numFmtId="165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164" fontId="14" fillId="5" borderId="1" applyAlignment="1" pivotButton="0" quotePrefix="0" xfId="0">
      <alignment horizontal="center" vertical="center"/>
    </xf>
    <xf numFmtId="166" fontId="15" fillId="4" borderId="1" applyAlignment="1" pivotButton="0" quotePrefix="0" xfId="0">
      <alignment horizontal="center" vertical="center"/>
    </xf>
    <xf numFmtId="165" fontId="15" fillId="4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164" fontId="16" fillId="5" borderId="1" applyAlignment="1" pivotButton="0" quotePrefix="0" xfId="0">
      <alignment horizontal="center" vertical="center"/>
    </xf>
    <xf numFmtId="166" fontId="15" fillId="6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165" fontId="17" fillId="15" borderId="1" applyAlignment="1" pivotButton="0" quotePrefix="0" xfId="0">
      <alignment horizontal="center" vertical="center" wrapText="1"/>
    </xf>
    <xf numFmtId="10" fontId="18" fillId="16" borderId="1" applyAlignment="1" pivotButton="0" quotePrefix="0" xfId="0">
      <alignment horizontal="center" vertical="center" wrapText="1"/>
    </xf>
    <xf numFmtId="10" fontId="19" fillId="17" borderId="1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center" vertical="center" wrapText="1"/>
    </xf>
    <xf numFmtId="0" fontId="21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2" customWidth="1" min="4" max="4"/>
    <col width="18" customWidth="1" min="5" max="5"/>
  </cols>
  <sheetData>
    <row r="1" ht="40" customHeight="1">
      <c r="A1" s="1" t="inlineStr">
        <is>
          <t>CAPM  |  WACC  |  IRR  —  Interactive Financial Simulator</t>
        </is>
      </c>
    </row>
    <row r="3" ht="28" customHeight="1">
      <c r="A3" s="2" t="inlineStr">
        <is>
          <t>▶  INPUT PARAMETERS  (yellow cells = change these)</t>
        </is>
      </c>
    </row>
    <row r="4" ht="22" customHeight="1">
      <c r="A4" s="3" t="inlineStr">
        <is>
          <t>Risk-Free Rate  r_f</t>
        </is>
      </c>
      <c r="B4" s="4" t="n">
        <v>0.03</v>
      </c>
      <c r="C4" s="5" t="inlineStr">
        <is>
          <t>e.g. 10yr govt bond yield</t>
        </is>
      </c>
    </row>
    <row r="5" ht="22" customHeight="1">
      <c r="A5" s="3" t="inlineStr">
        <is>
          <t>Market Return  r_m</t>
        </is>
      </c>
      <c r="B5" s="4" t="n">
        <v>0.1</v>
      </c>
      <c r="C5" s="5" t="inlineStr">
        <is>
          <t>e.g. S&amp;P500 avg historical</t>
        </is>
      </c>
    </row>
    <row r="6" ht="22" customHeight="1">
      <c r="A6" s="3" t="inlineStr">
        <is>
          <t>Beta  β</t>
        </is>
      </c>
      <c r="B6" s="6" t="n">
        <v>1.4</v>
      </c>
      <c r="C6" s="5" t="inlineStr">
        <is>
          <t>Sensitivity to market risk</t>
        </is>
      </c>
    </row>
    <row r="7" ht="22" customHeight="1">
      <c r="A7" s="3" t="inlineStr">
        <is>
          <t>Cost of Debt  r_d</t>
        </is>
      </c>
      <c r="B7" s="4" t="n">
        <v>0.05</v>
      </c>
      <c r="C7" s="5" t="inlineStr">
        <is>
          <t>Bank loan interest rate</t>
        </is>
      </c>
    </row>
    <row r="8" ht="22" customHeight="1">
      <c r="A8" s="3" t="inlineStr">
        <is>
          <t>Corporate Tax Rate  T_c</t>
        </is>
      </c>
      <c r="B8" s="4" t="n">
        <v>0.3</v>
      </c>
      <c r="C8" s="5" t="inlineStr">
        <is>
          <t>Effective corporate tax</t>
        </is>
      </c>
    </row>
    <row r="9" ht="22" customHeight="1">
      <c r="A9" s="3" t="inlineStr">
        <is>
          <t>Market Value of Equity  E (€)</t>
        </is>
      </c>
      <c r="B9" s="7" t="n">
        <v>600000</v>
      </c>
      <c r="C9" s="5" t="inlineStr">
        <is>
          <t>Total equity market value</t>
        </is>
      </c>
    </row>
    <row r="10" ht="22" customHeight="1">
      <c r="A10" s="3" t="inlineStr">
        <is>
          <t>Market Value of Debt  D (€)</t>
        </is>
      </c>
      <c r="B10" s="7" t="n">
        <v>400000</v>
      </c>
      <c r="C10" s="5" t="inlineStr">
        <is>
          <t>Total debt market value</t>
        </is>
      </c>
    </row>
    <row r="12" ht="28" customHeight="1">
      <c r="A12" s="8" t="inlineStr">
        <is>
          <t>📐  STEP 1  —  CAPM  :  Cost of Equity  r_e</t>
        </is>
      </c>
    </row>
    <row r="13" ht="22" customHeight="1">
      <c r="A13" s="9" t="inlineStr">
        <is>
          <t>Formula</t>
        </is>
      </c>
      <c r="B13" s="10" t="inlineStr">
        <is>
          <t>r_e  =  r_f  +  β × (r_m – r_f)</t>
        </is>
      </c>
      <c r="C13" s="5" t="inlineStr">
        <is>
          <t>CAPM equation</t>
        </is>
      </c>
    </row>
    <row r="14" ht="22" customHeight="1">
      <c r="A14" s="9" t="inlineStr">
        <is>
          <t>Market Risk Premium  (r_m – r_f)</t>
        </is>
      </c>
      <c r="B14" s="11">
        <f>B5-B4</f>
        <v/>
      </c>
      <c r="C14" s="5" t="inlineStr">
        <is>
          <t>Extra return vs risk-free</t>
        </is>
      </c>
    </row>
    <row r="15" ht="22" customHeight="1">
      <c r="A15" s="9" t="inlineStr">
        <is>
          <t>Risk Premium of stock  β×(r_m–r_f)</t>
        </is>
      </c>
      <c r="B15" s="11">
        <f>B6*(B5-B4)</f>
        <v/>
      </c>
      <c r="C15" s="5" t="inlineStr">
        <is>
          <t>Stock-specific premium</t>
        </is>
      </c>
    </row>
    <row r="16" ht="22" customHeight="1">
      <c r="A16" s="12" t="inlineStr">
        <is>
          <t>► COST OF EQUITY  r_e</t>
        </is>
      </c>
      <c r="B16" s="13">
        <f>B4+B6*(B5-B4)</f>
        <v/>
      </c>
      <c r="C16" s="5" t="inlineStr">
        <is>
          <t>Result of CAPM</t>
        </is>
      </c>
    </row>
    <row r="18" ht="28" customHeight="1">
      <c r="A18" s="8" t="inlineStr">
        <is>
          <t>⚖️  STEP 2  —  WACC  :  Weighted Average Cost of Capital</t>
        </is>
      </c>
    </row>
    <row r="19" ht="22" customHeight="1">
      <c r="A19" s="9" t="inlineStr">
        <is>
          <t>Formula</t>
        </is>
      </c>
      <c r="B19" s="10" t="inlineStr">
        <is>
          <t>WACC = (E/V)×r_e + (D/V)×r_d×(1–T_c)</t>
        </is>
      </c>
      <c r="C19" s="5" t="inlineStr">
        <is>
          <t>Weighted avg of debt &amp; equity cost</t>
        </is>
      </c>
    </row>
    <row r="20" ht="22" customHeight="1">
      <c r="A20" s="9" t="inlineStr">
        <is>
          <t>Total Firm Value  V = E+D</t>
        </is>
      </c>
      <c r="B20" s="14">
        <f>(B9+B10)</f>
        <v/>
      </c>
      <c r="C20" s="5" t="inlineStr">
        <is>
          <t>Sum of equity and debt</t>
        </is>
      </c>
    </row>
    <row r="21" ht="22" customHeight="1">
      <c r="A21" s="9" t="inlineStr">
        <is>
          <t>Weight of Equity  E/V</t>
        </is>
      </c>
      <c r="B21" s="11">
        <f>B9/(B9+B10)</f>
        <v/>
      </c>
      <c r="C21" s="5" t="inlineStr">
        <is>
          <t>Equity fraction</t>
        </is>
      </c>
    </row>
    <row r="22" ht="22" customHeight="1">
      <c r="A22" s="9" t="inlineStr">
        <is>
          <t>Weight of Debt  D/V</t>
        </is>
      </c>
      <c r="B22" s="11">
        <f>B10/(B9+B10)</f>
        <v/>
      </c>
      <c r="C22" s="5" t="inlineStr">
        <is>
          <t>Debt fraction</t>
        </is>
      </c>
    </row>
    <row r="23" ht="22" customHeight="1">
      <c r="A23" s="9" t="inlineStr">
        <is>
          <t>After-tax Cost of Debt  r_d×(1–T_c)</t>
        </is>
      </c>
      <c r="B23" s="11">
        <f>B7*(1-B8)</f>
        <v/>
      </c>
      <c r="C23" s="5" t="inlineStr">
        <is>
          <t>Debt is tax-deductible (tax shield)</t>
        </is>
      </c>
    </row>
    <row r="24" ht="22" customHeight="1">
      <c r="A24" s="15" t="inlineStr">
        <is>
          <t>► WACC</t>
        </is>
      </c>
      <c r="B24" s="16">
        <f>(B9/(B9+B10))*B16+(B10/(B9+B10))*B7*(1-B8)</f>
        <v/>
      </c>
      <c r="C24" s="5" t="inlineStr">
        <is>
          <t>Hurdle rate for any project</t>
        </is>
      </c>
    </row>
    <row r="26" ht="28" customHeight="1">
      <c r="A26" s="17" t="inlineStr">
        <is>
          <t>🏆  FINAL DECISION  —  See 'Cash Flows &amp; IRR' sheet for NPV &amp; IRR calculation</t>
        </is>
      </c>
    </row>
    <row r="27" ht="24" customHeight="1">
      <c r="A27" s="18" t="inlineStr">
        <is>
          <t>CAPM – Cost of Equity</t>
        </is>
      </c>
      <c r="B27" s="19">
        <f>B16</f>
        <v/>
      </c>
      <c r="C27" s="5" t="inlineStr">
        <is>
          <t>What shareholders demand</t>
        </is>
      </c>
    </row>
    <row r="28" ht="24" customHeight="1">
      <c r="A28" s="18" t="inlineStr">
        <is>
          <t>WACC – Hurdle Rate</t>
        </is>
      </c>
      <c r="B28" s="19">
        <f>B24</f>
        <v/>
      </c>
      <c r="C28" s="5" t="inlineStr">
        <is>
          <t>Minimum project return</t>
        </is>
      </c>
    </row>
    <row r="29" ht="24" customHeight="1">
      <c r="A29" s="18" t="inlineStr">
        <is>
          <t>IRR – Project Return</t>
        </is>
      </c>
      <c r="B29" s="19">
        <f>IRR Sheet!B18</f>
        <v/>
      </c>
      <c r="C29" s="5" t="inlineStr">
        <is>
          <t>← Link from IRR sheet</t>
        </is>
      </c>
    </row>
    <row r="30" ht="24" customHeight="1">
      <c r="A30" s="18" t="inlineStr">
        <is>
          <t>NPV of Project</t>
        </is>
      </c>
      <c r="B30" s="20">
        <f>IRR Sheet!B19</f>
        <v/>
      </c>
      <c r="C30" s="5" t="inlineStr">
        <is>
          <t>← Link from IRR sheet</t>
        </is>
      </c>
    </row>
    <row r="31" ht="28" customHeight="1">
      <c r="A31" s="18" t="inlineStr">
        <is>
          <t>Decision: IRR &gt; WACC?</t>
        </is>
      </c>
      <c r="B31" s="21">
        <f>IF('IRR Sheet'!B18&gt;B24,"✅ ACCEPT – Project creates value","❌ REJECT – Destroys value")</f>
        <v/>
      </c>
      <c r="C31" s="5" t="inlineStr">
        <is>
          <t>Golden Rule</t>
        </is>
      </c>
    </row>
  </sheetData>
  <mergeCells count="5">
    <mergeCell ref="A12:E12"/>
    <mergeCell ref="A26:E26"/>
    <mergeCell ref="A1:E1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  <col width="22" customWidth="1" min="4" max="4"/>
  </cols>
  <sheetData>
    <row r="1" ht="38" customHeight="1">
      <c r="A1" s="22" t="inlineStr">
        <is>
          <t>📈  CASH FLOW ANALYSIS  —  NPV &amp; IRR Calculator</t>
        </is>
      </c>
    </row>
    <row r="3" ht="24" customHeight="1">
      <c r="A3" s="23" t="inlineStr">
        <is>
          <t>Year</t>
        </is>
      </c>
      <c r="B3" s="23" t="inlineStr">
        <is>
          <t>Cash Flow (€)</t>
        </is>
      </c>
      <c r="C3" s="23" t="inlineStr">
        <is>
          <t>Discount Factor (WACC)</t>
        </is>
      </c>
      <c r="D3" s="23" t="inlineStr">
        <is>
          <t>Present Value (€)</t>
        </is>
      </c>
    </row>
    <row r="4" ht="22" customHeight="1">
      <c r="A4" s="24" t="inlineStr">
        <is>
          <t>Year 0  (Initial Investment)</t>
        </is>
      </c>
      <c r="B4" s="25" t="n">
        <v>-100000</v>
      </c>
      <c r="C4" s="26" t="n">
        <v>1</v>
      </c>
      <c r="D4" s="27">
        <f>B4*C4</f>
        <v/>
      </c>
    </row>
    <row r="5" ht="22" customHeight="1">
      <c r="A5" s="28" t="inlineStr">
        <is>
          <t>Year 1</t>
        </is>
      </c>
      <c r="B5" s="29" t="n">
        <v>30000</v>
      </c>
      <c r="C5" s="30">
        <f>1/(1+'📊 Dashboard'!B24)^1</f>
        <v/>
      </c>
      <c r="D5" s="31">
        <f>B5*C5</f>
        <v/>
      </c>
    </row>
    <row r="6" ht="22" customHeight="1">
      <c r="A6" s="32" t="inlineStr">
        <is>
          <t>Year 2</t>
        </is>
      </c>
      <c r="B6" s="29" t="n">
        <v>40000</v>
      </c>
      <c r="C6" s="26">
        <f>1/(1+'📊 Dashboard'!B24)^2</f>
        <v/>
      </c>
      <c r="D6" s="27">
        <f>B6*C6</f>
        <v/>
      </c>
    </row>
    <row r="7" ht="22" customHeight="1">
      <c r="A7" s="28" t="inlineStr">
        <is>
          <t>Year 3</t>
        </is>
      </c>
      <c r="B7" s="29" t="n">
        <v>50000</v>
      </c>
      <c r="C7" s="30">
        <f>1/(1+'📊 Dashboard'!B24)^3</f>
        <v/>
      </c>
      <c r="D7" s="31">
        <f>B7*C7</f>
        <v/>
      </c>
    </row>
    <row r="8" ht="22" customHeight="1">
      <c r="A8" s="32" t="inlineStr">
        <is>
          <t>Year 4</t>
        </is>
      </c>
      <c r="B8" s="29" t="n">
        <v>20000</v>
      </c>
      <c r="C8" s="26">
        <f>1/(1+'📊 Dashboard'!B24)^4</f>
        <v/>
      </c>
      <c r="D8" s="27">
        <f>B8*C8</f>
        <v/>
      </c>
    </row>
    <row r="10" ht="26" customHeight="1">
      <c r="A10" s="24" t="inlineStr">
        <is>
          <t>NPV  (=Sum of all PVs)</t>
        </is>
      </c>
      <c r="B10" s="33">
        <f>SUM(D4:D8)</f>
        <v/>
      </c>
    </row>
    <row r="11" ht="26" customHeight="1">
      <c r="A11" s="24" t="inlineStr">
        <is>
          <t>IRR  (Internal Rate of Return)</t>
        </is>
      </c>
      <c r="B11" s="34">
        <f>IRR(B4:B8)</f>
        <v/>
      </c>
    </row>
    <row r="12" ht="26" customHeight="1">
      <c r="A12" s="24" t="inlineStr">
        <is>
          <t>WACC  (Hurdle Rate from Dashboard)</t>
        </is>
      </c>
      <c r="B12" s="35">
        <f>'📊 Dashboard'!B24</f>
        <v/>
      </c>
    </row>
    <row r="13" ht="26" customHeight="1">
      <c r="A13" s="24" t="inlineStr">
        <is>
          <t>Decision: IRR vs WACC</t>
        </is>
      </c>
      <c r="B13" s="36">
        <f>IF(B11&gt;B12,"✅ ACCEPT","❌ REJECT")</f>
        <v/>
      </c>
    </row>
    <row r="16" ht="40" customHeight="1">
      <c r="A16" s="37" t="inlineStr">
        <is>
          <t>💡  HOW TO USE: Change the yellow cells (Cash Flows) or return to '📊 Dashboard' to change Beta, Debt, Equity, Tax Rate etc. All results update automatically.</t>
        </is>
      </c>
    </row>
  </sheetData>
  <mergeCells count="2">
    <mergeCell ref="A1:D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2026-04-30T17:26:42Z</dcterms:created>
  <dcterms:modified xsi:type="dcterms:W3CDTF">2026-04-30T17:26:42Z</dcterms:modified>
</cp:coreProperties>
</file>