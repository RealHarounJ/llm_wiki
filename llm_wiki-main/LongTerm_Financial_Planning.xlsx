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-Term Financi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sz val="11"/>
    </font>
    <font>
      <b val="1"/>
      <color rgb="00000000"/>
      <sz val="11"/>
    </font>
    <font>
      <b val="1"/>
      <color rgb="001F3864"/>
      <sz val="11"/>
    </font>
    <font>
      <b val="1"/>
      <color rgb="00C00000"/>
      <sz val="11"/>
    </font>
    <font>
      <b val="1"/>
      <color rgb="001F3864"/>
    </font>
    <font>
      <b val="1"/>
      <color rgb="001F3864"/>
      <sz val="12"/>
    </font>
    <font>
      <b val="1"/>
      <color rgb="00C00000"/>
    </font>
    <font>
      <b val="1"/>
      <color rgb="00C00000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3" fillId="4" borderId="6" applyAlignment="1" pivotButton="0" quotePrefix="0" xfId="0">
      <alignment horizontal="left" vertical="center" wrapText="1"/>
    </xf>
    <xf numFmtId="10" fontId="4" fillId="5" borderId="6" applyAlignment="1" pivotButton="0" quotePrefix="0" xfId="0">
      <alignment horizontal="right" vertical="center"/>
    </xf>
    <xf numFmtId="3" fontId="4" fillId="5" borderId="6" applyAlignment="1" pivotButton="0" quotePrefix="0" xfId="0">
      <alignment horizontal="right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left" vertical="center" wrapText="1"/>
    </xf>
    <xf numFmtId="3" fontId="0" fillId="6" borderId="6" pivotButton="0" quotePrefix="0" xfId="0"/>
    <xf numFmtId="0" fontId="5" fillId="4" borderId="6" applyAlignment="1" pivotButton="0" quotePrefix="0" xfId="0">
      <alignment horizontal="left" vertical="center" wrapText="1"/>
    </xf>
    <xf numFmtId="3" fontId="0" fillId="4" borderId="6" pivotButton="0" quotePrefix="0" xfId="0"/>
    <xf numFmtId="0" fontId="5" fillId="7" borderId="6" applyAlignment="1" pivotButton="0" quotePrefix="0" xfId="0">
      <alignment horizontal="left" vertical="center" wrapText="1"/>
    </xf>
    <xf numFmtId="3" fontId="0" fillId="7" borderId="6" pivotButton="0" quotePrefix="0" xfId="0"/>
    <xf numFmtId="0" fontId="5" fillId="8" borderId="6" applyAlignment="1" pivotButton="0" quotePrefix="0" xfId="0">
      <alignment horizontal="left" vertical="center" wrapText="1"/>
    </xf>
    <xf numFmtId="3" fontId="0" fillId="8" borderId="6" pivotButton="0" quotePrefix="0" xfId="0"/>
    <xf numFmtId="0" fontId="2" fillId="2" borderId="6" applyAlignment="1" pivotButton="0" quotePrefix="0" xfId="0">
      <alignment horizontal="left" vertical="center" wrapText="1"/>
    </xf>
    <xf numFmtId="3" fontId="0" fillId="2" borderId="6" pivotButton="0" quotePrefix="0" xfId="0"/>
    <xf numFmtId="0" fontId="6" fillId="7" borderId="6" applyAlignment="1" pivotButton="0" quotePrefix="0" xfId="0">
      <alignment horizontal="left" vertical="center" wrapText="1"/>
    </xf>
    <xf numFmtId="0" fontId="7" fillId="9" borderId="6" applyAlignment="1" pivotButton="0" quotePrefix="0" xfId="0">
      <alignment horizontal="left" vertical="center" wrapText="1"/>
    </xf>
    <xf numFmtId="3" fontId="0" fillId="9" borderId="6" pivotButton="0" quotePrefix="0" xfId="0"/>
    <xf numFmtId="3" fontId="3" fillId="6" borderId="6" applyAlignment="1" pivotButton="0" quotePrefix="0" xfId="0">
      <alignment horizontal="right" vertical="center"/>
    </xf>
    <xf numFmtId="3" fontId="8" fillId="4" borderId="6" applyAlignment="1" pivotButton="0" quotePrefix="0" xfId="0">
      <alignment horizontal="right" vertical="center"/>
    </xf>
    <xf numFmtId="3" fontId="9" fillId="7" borderId="6" applyAlignment="1" pivotButton="0" quotePrefix="0" xfId="0">
      <alignment horizontal="right" vertical="center"/>
    </xf>
    <xf numFmtId="3" fontId="11" fillId="8" borderId="6" applyAlignment="1" pivotButton="0" quotePrefix="0" xfId="0">
      <alignment horizontal="right" vertical="center"/>
    </xf>
    <xf numFmtId="3" fontId="8" fillId="7" borderId="6" applyAlignment="1" pivotButton="0" quotePrefix="0" xfId="0">
      <alignment horizontal="right" vertical="center"/>
    </xf>
    <xf numFmtId="3" fontId="10" fillId="9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zoomScale="9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LONG-TERM FINANCIAL PLANNING — Build Together</t>
        </is>
      </c>
      <c r="B1" s="2" t="n"/>
      <c r="C1" s="2" t="n"/>
      <c r="D1" s="2" t="n"/>
      <c r="E1" s="2" t="n"/>
      <c r="F1" s="2" t="n"/>
      <c r="G1" s="3" t="n"/>
    </row>
    <row r="2" ht="6" customHeight="1"/>
    <row r="3">
      <c r="A3" s="4" t="inlineStr">
        <is>
          <t>INPUT ASSUMPTIONS (Yellow = editable)</t>
        </is>
      </c>
      <c r="B3" s="5" t="n"/>
      <c r="C3" s="5" t="n"/>
      <c r="D3" s="5" t="n"/>
      <c r="E3" s="5" t="n"/>
      <c r="F3" s="5" t="n"/>
      <c r="G3" s="6" t="n"/>
    </row>
    <row r="4" ht="22" customHeight="1">
      <c r="A4" s="7" t="inlineStr">
        <is>
          <t>Revenue Growth Rate (g)</t>
        </is>
      </c>
      <c r="B4" s="8" t="n">
        <v>0.2</v>
      </c>
    </row>
    <row r="5" ht="22" customHeight="1">
      <c r="A5" s="7" t="inlineStr">
        <is>
          <t>Total Costs as % of Revenues</t>
        </is>
      </c>
      <c r="B5" s="8" t="n">
        <v>0.92</v>
      </c>
    </row>
    <row r="6" ht="22" customHeight="1">
      <c r="A6" s="7" t="inlineStr">
        <is>
          <t>Depreciation as % of Net Fixed Assets</t>
        </is>
      </c>
      <c r="B6" s="8" t="n">
        <v>0.09</v>
      </c>
    </row>
    <row r="7" ht="22" customHeight="1">
      <c r="A7" s="7" t="inlineStr">
        <is>
          <t>Interest Rate on Long-term Debt</t>
        </is>
      </c>
      <c r="B7" s="8" t="n">
        <v>0.08500000000000001</v>
      </c>
    </row>
    <row r="8" ht="22" customHeight="1">
      <c r="A8" s="7" t="inlineStr">
        <is>
          <t>Tax Rate</t>
        </is>
      </c>
      <c r="B8" s="8" t="n">
        <v>0.5</v>
      </c>
    </row>
    <row r="9" ht="22" customHeight="1">
      <c r="A9" s="7" t="inlineStr">
        <is>
          <t>Dividend Payout Ratio (d)</t>
        </is>
      </c>
      <c r="B9" s="8" t="n">
        <v>0.3</v>
      </c>
    </row>
    <row r="10" ht="22" customHeight="1">
      <c r="A10" s="7" t="inlineStr">
        <is>
          <t>Actual 2021 Revenues</t>
        </is>
      </c>
      <c r="B10" s="9" t="n">
        <v>2200</v>
      </c>
    </row>
    <row r="11" ht="22" customHeight="1">
      <c r="A11" s="7" t="inlineStr">
        <is>
          <t>Actual 2021 Long-term Debt</t>
        </is>
      </c>
      <c r="B11" s="9" t="n">
        <v>757</v>
      </c>
    </row>
    <row r="12" ht="22" customHeight="1">
      <c r="A12" s="7" t="inlineStr">
        <is>
          <t>Actual 2021 Net Fixed Assets (NFA)</t>
        </is>
      </c>
      <c r="B12" s="9" t="n">
        <v>268.5</v>
      </c>
    </row>
    <row r="13" ht="22" customHeight="1">
      <c r="A13" s="7" t="inlineStr">
        <is>
          <t>Actual 2021 Net Working Capital (NWC)</t>
        </is>
      </c>
      <c r="B13" s="9" t="n">
        <v>192</v>
      </c>
    </row>
    <row r="14" ht="22" customHeight="1">
      <c r="A14" s="7" t="inlineStr">
        <is>
          <t>Actual 2021 Shareholders Equity</t>
        </is>
      </c>
      <c r="B14" s="9" t="n">
        <v>490</v>
      </c>
    </row>
    <row r="15" ht="6" customHeight="1"/>
    <row r="16" ht="26" customHeight="1">
      <c r="A16" s="10" t="inlineStr">
        <is>
          <t>ITEM</t>
        </is>
      </c>
      <c r="B16" s="11" t="inlineStr">
        <is>
          <t>Actual 2021</t>
        </is>
      </c>
      <c r="C16" s="11" t="inlineStr">
        <is>
          <t>2022</t>
        </is>
      </c>
      <c r="D16" s="11" t="inlineStr">
        <is>
          <t>2023</t>
        </is>
      </c>
      <c r="E16" s="11" t="inlineStr">
        <is>
          <t>2024</t>
        </is>
      </c>
      <c r="F16" s="11" t="inlineStr">
        <is>
          <t>2025</t>
        </is>
      </c>
      <c r="G16" s="11" t="inlineStr">
        <is>
          <t>2026</t>
        </is>
      </c>
    </row>
    <row r="17" ht="6" customHeight="1"/>
    <row r="18" ht="22" customHeight="1">
      <c r="A18" s="4" t="inlineStr">
        <is>
          <t>STEP 1 — Operating Cash Flow</t>
        </is>
      </c>
      <c r="B18" s="5" t="n"/>
      <c r="C18" s="5" t="n"/>
      <c r="D18" s="5" t="n"/>
      <c r="E18" s="5" t="n"/>
      <c r="F18" s="5" t="n"/>
      <c r="G18" s="6" t="n"/>
    </row>
    <row r="19" ht="22" customHeight="1">
      <c r="A19" s="12" t="inlineStr">
        <is>
          <t>Revenues</t>
        </is>
      </c>
      <c r="B19" s="25">
        <f>B10</f>
        <v/>
      </c>
      <c r="C19" s="25">
        <f>B19*(1+$B$4)</f>
        <v/>
      </c>
      <c r="D19" s="25">
        <f>C19*(1+$B$4)</f>
        <v/>
      </c>
      <c r="E19" s="25">
        <f>D19*(1+$B$4)</f>
        <v/>
      </c>
      <c r="F19" s="25">
        <f>E19*(1+$B$4)</f>
        <v/>
      </c>
      <c r="G19" s="25">
        <f>F19*(1+$B$4)</f>
        <v/>
      </c>
    </row>
    <row r="20" ht="22" customHeight="1">
      <c r="A20" s="12" t="inlineStr">
        <is>
          <t>Total Costs (92% of Revenues)</t>
        </is>
      </c>
      <c r="B20" s="25">
        <f>-B19*$B$5</f>
        <v/>
      </c>
      <c r="C20" s="25">
        <f>-C19*$B$5</f>
        <v/>
      </c>
      <c r="D20" s="25">
        <f>-D19*$B$5</f>
        <v/>
      </c>
      <c r="E20" s="25">
        <f>-E19*$B$5</f>
        <v/>
      </c>
      <c r="F20" s="25">
        <f>-F19*$B$5</f>
        <v/>
      </c>
      <c r="G20" s="25">
        <f>-G19*$B$5</f>
        <v/>
      </c>
    </row>
    <row r="21" ht="22" customHeight="1">
      <c r="A21" s="14" t="inlineStr">
        <is>
          <t>EBIT (Revenues - Costs)</t>
        </is>
      </c>
      <c r="B21" s="26">
        <f>B19+B20</f>
        <v/>
      </c>
      <c r="C21" s="26">
        <f>C19+C20</f>
        <v/>
      </c>
      <c r="D21" s="26">
        <f>D19+D20</f>
        <v/>
      </c>
      <c r="E21" s="26">
        <f>E19+E20</f>
        <v/>
      </c>
      <c r="F21" s="26">
        <f>F19+F20</f>
        <v/>
      </c>
      <c r="G21" s="26">
        <f>G19+G20</f>
        <v/>
      </c>
    </row>
    <row r="22" ht="22" customHeight="1">
      <c r="A22" s="12" t="inlineStr">
        <is>
          <t>Interest on Long-term Debt</t>
        </is>
      </c>
      <c r="B22" s="25">
        <f>-$B$11*$B$7</f>
        <v/>
      </c>
      <c r="C22" s="25">
        <f>-B43*$B$7</f>
        <v/>
      </c>
      <c r="D22" s="25">
        <f>-C43*$B$7</f>
        <v/>
      </c>
      <c r="E22" s="25">
        <f>-D43*$B$7</f>
        <v/>
      </c>
      <c r="F22" s="25">
        <f>-E43*$B$7</f>
        <v/>
      </c>
      <c r="G22" s="25">
        <f>-F43*$B$7</f>
        <v/>
      </c>
    </row>
    <row r="23" ht="22" customHeight="1">
      <c r="A23" s="14" t="inlineStr">
        <is>
          <t>Income Before Tax</t>
        </is>
      </c>
      <c r="B23" s="26">
        <f>B21+B22</f>
        <v/>
      </c>
      <c r="C23" s="26">
        <f>C21+C22</f>
        <v/>
      </c>
      <c r="D23" s="26">
        <f>D21+D22</f>
        <v/>
      </c>
      <c r="E23" s="26">
        <f>E21+E22</f>
        <v/>
      </c>
      <c r="F23" s="26">
        <f>F21+F22</f>
        <v/>
      </c>
      <c r="G23" s="26">
        <f>G21+G22</f>
        <v/>
      </c>
    </row>
    <row r="24" ht="22" customHeight="1">
      <c r="A24" s="12" t="inlineStr">
        <is>
          <t>Taxes</t>
        </is>
      </c>
      <c r="B24" s="25">
        <f>-B23*$B$8</f>
        <v/>
      </c>
      <c r="C24" s="25">
        <f>-C23*$B$8</f>
        <v/>
      </c>
      <c r="D24" s="25">
        <f>-D23*$B$8</f>
        <v/>
      </c>
      <c r="E24" s="25">
        <f>-E23*$B$8</f>
        <v/>
      </c>
      <c r="F24" s="25">
        <f>-F23*$B$8</f>
        <v/>
      </c>
      <c r="G24" s="25">
        <f>-G23*$B$8</f>
        <v/>
      </c>
    </row>
    <row r="25" ht="22" customHeight="1">
      <c r="A25" s="14" t="inlineStr">
        <is>
          <t>Net Income</t>
        </is>
      </c>
      <c r="B25" s="26">
        <f>B23+B24</f>
        <v/>
      </c>
      <c r="C25" s="26">
        <f>C23+C24</f>
        <v/>
      </c>
      <c r="D25" s="26">
        <f>D23+D24</f>
        <v/>
      </c>
      <c r="E25" s="26">
        <f>E23+E24</f>
        <v/>
      </c>
      <c r="F25" s="26">
        <f>F23+F24</f>
        <v/>
      </c>
      <c r="G25" s="26">
        <f>G23+G24</f>
        <v/>
      </c>
    </row>
    <row r="26" ht="22" customHeight="1">
      <c r="A26" s="12" t="inlineStr">
        <is>
          <t>+ Depreciation (add back)</t>
        </is>
      </c>
      <c r="B26" s="25">
        <f>$B$12*$B$6</f>
        <v/>
      </c>
      <c r="C26" s="25">
        <f>B40*$B$6</f>
        <v/>
      </c>
      <c r="D26" s="25">
        <f>C40*$B$6</f>
        <v/>
      </c>
      <c r="E26" s="25">
        <f>D40*$B$6</f>
        <v/>
      </c>
      <c r="F26" s="25">
        <f>E40*$B$6</f>
        <v/>
      </c>
      <c r="G26" s="25">
        <f>F40*$B$6</f>
        <v/>
      </c>
    </row>
    <row r="27" ht="22" customHeight="1">
      <c r="A27" s="16" t="inlineStr">
        <is>
          <t>OPERATING CASH FLOW</t>
        </is>
      </c>
      <c r="B27" s="27">
        <f>B25+B26</f>
        <v/>
      </c>
      <c r="C27" s="27">
        <f>C25+C26</f>
        <v/>
      </c>
      <c r="D27" s="27">
        <f>D25+D26</f>
        <v/>
      </c>
      <c r="E27" s="27">
        <f>E25+E26</f>
        <v/>
      </c>
      <c r="F27" s="27">
        <f>F25+F26</f>
        <v/>
      </c>
      <c r="G27" s="27">
        <f>G25+G26</f>
        <v/>
      </c>
    </row>
    <row r="28" ht="6" customHeight="1"/>
    <row r="29">
      <c r="A29" s="4" t="inlineStr">
        <is>
          <t>STEP 2 — Uses of Capital &amp; EFN</t>
        </is>
      </c>
      <c r="B29" s="5" t="n"/>
      <c r="C29" s="5" t="n"/>
      <c r="D29" s="5" t="n"/>
      <c r="E29" s="5" t="n"/>
      <c r="F29" s="5" t="n"/>
      <c r="G29" s="6" t="n"/>
    </row>
    <row r="30" ht="22" customHeight="1">
      <c r="A30" s="12" t="inlineStr">
        <is>
          <t>Investment in NWC</t>
        </is>
      </c>
      <c r="B30" s="25" t="n">
        <v>0</v>
      </c>
      <c r="C30" s="25">
        <f>-(C39-B39)</f>
        <v/>
      </c>
      <c r="D30" s="25">
        <f>-(D39-C39)</f>
        <v/>
      </c>
      <c r="E30" s="25">
        <f>-(E39-D39)</f>
        <v/>
      </c>
      <c r="F30" s="25">
        <f>-(F39-E39)</f>
        <v/>
      </c>
      <c r="G30" s="25">
        <f>-(G39-F39)</f>
        <v/>
      </c>
    </row>
    <row r="31" ht="22" customHeight="1">
      <c r="A31" s="12" t="inlineStr">
        <is>
          <t>Gross Investment in Fixed Assets</t>
        </is>
      </c>
      <c r="B31" s="25">
        <f>-30</f>
        <v/>
      </c>
      <c r="C31" s="25">
        <f>-(C40-B40+C26)</f>
        <v/>
      </c>
      <c r="D31" s="25">
        <f>-(D40-C40+D26)</f>
        <v/>
      </c>
      <c r="E31" s="25">
        <f>-(E40-D40+E26)</f>
        <v/>
      </c>
      <c r="F31" s="25">
        <f>-(F40-E40+F26)</f>
        <v/>
      </c>
      <c r="G31" s="25">
        <f>-(G40-F40+G26)</f>
        <v/>
      </c>
    </row>
    <row r="32" ht="22" customHeight="1">
      <c r="A32" s="12" t="inlineStr">
        <is>
          <t>Dividends</t>
        </is>
      </c>
      <c r="B32" s="25">
        <f>-B25*$B$9</f>
        <v/>
      </c>
      <c r="C32" s="25">
        <f>-C25*$B$9</f>
        <v/>
      </c>
      <c r="D32" s="25">
        <f>-D25*$B$9</f>
        <v/>
      </c>
      <c r="E32" s="25">
        <f>-E25*$B$9</f>
        <v/>
      </c>
      <c r="F32" s="25">
        <f>-F25*$B$9</f>
        <v/>
      </c>
      <c r="G32" s="25">
        <f>-G25*$B$9</f>
        <v/>
      </c>
    </row>
    <row r="33" ht="22" customHeight="1">
      <c r="A33" s="14" t="inlineStr">
        <is>
          <t>TOTAL USES OF CAPITAL</t>
        </is>
      </c>
      <c r="B33" s="26">
        <f>B30+B31+B32</f>
        <v/>
      </c>
      <c r="C33" s="26">
        <f>C30+C31+C32</f>
        <v/>
      </c>
      <c r="D33" s="26">
        <f>D30+D31+D32</f>
        <v/>
      </c>
      <c r="E33" s="26">
        <f>E30+E31+E32</f>
        <v/>
      </c>
      <c r="F33" s="26">
        <f>F30+F31+F32</f>
        <v/>
      </c>
      <c r="G33" s="26">
        <f>G30+G31+G32</f>
        <v/>
      </c>
    </row>
    <row r="34" ht="22" customHeight="1">
      <c r="A34" s="18" t="inlineStr">
        <is>
          <t>EXTERNAL FINANCING NEEDED (EFN)</t>
        </is>
      </c>
      <c r="B34" s="28">
        <f>B27+B33</f>
        <v/>
      </c>
      <c r="C34" s="28">
        <f>C27+C33</f>
        <v/>
      </c>
      <c r="D34" s="28">
        <f>D27+D33</f>
        <v/>
      </c>
      <c r="E34" s="28">
        <f>E27+E33</f>
        <v/>
      </c>
      <c r="F34" s="28">
        <f>F27+F33</f>
        <v/>
      </c>
      <c r="G34" s="28">
        <f>G27+G33</f>
        <v/>
      </c>
    </row>
    <row r="35" ht="22" customHeight="1">
      <c r="A35" s="12" t="inlineStr">
        <is>
          <t>Reinvested Earnings</t>
        </is>
      </c>
      <c r="B35" s="25">
        <f>B25*(1-$B$9)</f>
        <v/>
      </c>
      <c r="C35" s="25">
        <f>C25*(1-$B$9)</f>
        <v/>
      </c>
      <c r="D35" s="25">
        <f>D25*(1-$B$9)</f>
        <v/>
      </c>
      <c r="E35" s="25">
        <f>E25*(1-$B$9)</f>
        <v/>
      </c>
      <c r="F35" s="25">
        <f>F25*(1-$B$9)</f>
        <v/>
      </c>
      <c r="G35" s="25">
        <f>G25*(1-$B$9)</f>
        <v/>
      </c>
    </row>
    <row r="36" ht="6" customHeight="1"/>
    <row r="37">
      <c r="A37" s="4" t="inlineStr">
        <is>
          <t>STEP 3 — Pro Forma Balance Sheet</t>
        </is>
      </c>
      <c r="B37" s="5" t="n"/>
      <c r="C37" s="5" t="n"/>
      <c r="D37" s="5" t="n"/>
      <c r="E37" s="5" t="n"/>
      <c r="F37" s="5" t="n"/>
      <c r="G37" s="6" t="n"/>
    </row>
    <row r="38" ht="22" customHeight="1">
      <c r="A38" s="20" t="inlineStr">
        <is>
          <t>ASSETS</t>
        </is>
      </c>
      <c r="B38" s="21" t="n"/>
      <c r="C38" s="21" t="n"/>
      <c r="D38" s="21" t="n"/>
      <c r="E38" s="21" t="n"/>
      <c r="F38" s="21" t="n"/>
      <c r="G38" s="21" t="n"/>
    </row>
    <row r="39" ht="22" customHeight="1">
      <c r="A39" s="12" t="inlineStr">
        <is>
          <t>Net Working Capital (NWC)</t>
        </is>
      </c>
      <c r="B39" s="25">
        <f>$B$13</f>
        <v/>
      </c>
      <c r="C39" s="25">
        <f>B39*(1+$B$4)</f>
        <v/>
      </c>
      <c r="D39" s="25">
        <f>C39*(1+$B$4)</f>
        <v/>
      </c>
      <c r="E39" s="25">
        <f>D39*(1+$B$4)</f>
        <v/>
      </c>
      <c r="F39" s="25">
        <f>E39*(1+$B$4)</f>
        <v/>
      </c>
      <c r="G39" s="25">
        <f>F39*(1+$B$4)</f>
        <v/>
      </c>
    </row>
    <row r="40" ht="22" customHeight="1">
      <c r="A40" s="12" t="inlineStr">
        <is>
          <t>Net Fixed Assets (NFA)</t>
        </is>
      </c>
      <c r="B40" s="25">
        <f>$B$12</f>
        <v/>
      </c>
      <c r="C40" s="25">
        <f>B40*(1+$B$4)</f>
        <v/>
      </c>
      <c r="D40" s="25">
        <f>C40*(1+$B$4)</f>
        <v/>
      </c>
      <c r="E40" s="25">
        <f>D40*(1+$B$4)</f>
        <v/>
      </c>
      <c r="F40" s="25">
        <f>E40*(1+$B$4)</f>
        <v/>
      </c>
      <c r="G40" s="25">
        <f>F40*(1+$B$4)</f>
        <v/>
      </c>
    </row>
    <row r="41" ht="22" customHeight="1">
      <c r="A41" s="22" t="inlineStr">
        <is>
          <t>TOTAL NET ASSETS</t>
        </is>
      </c>
      <c r="B41" s="29">
        <f>B39+B40</f>
        <v/>
      </c>
      <c r="C41" s="29">
        <f>C39+C40</f>
        <v/>
      </c>
      <c r="D41" s="29">
        <f>D39+D40</f>
        <v/>
      </c>
      <c r="E41" s="29">
        <f>E39+E40</f>
        <v/>
      </c>
      <c r="F41" s="29">
        <f>F39+F40</f>
        <v/>
      </c>
      <c r="G41" s="29">
        <f>G39+G40</f>
        <v/>
      </c>
    </row>
    <row r="42" ht="22" customHeight="1">
      <c r="A42" s="20" t="inlineStr">
        <is>
          <t>LIABILITIES &amp; EQUITY</t>
        </is>
      </c>
      <c r="B42" s="21" t="n"/>
      <c r="C42" s="21" t="n"/>
      <c r="D42" s="21" t="n"/>
      <c r="E42" s="21" t="n"/>
      <c r="F42" s="21" t="n"/>
      <c r="G42" s="21" t="n"/>
    </row>
    <row r="43" ht="22" customHeight="1">
      <c r="A43" s="12" t="inlineStr">
        <is>
          <t>Long-term Debt</t>
        </is>
      </c>
      <c r="B43" s="25">
        <f>$B$11</f>
        <v/>
      </c>
      <c r="C43" s="25">
        <f>B43+MAX(0,-C34)</f>
        <v/>
      </c>
      <c r="D43" s="25">
        <f>C43+MAX(0,-D34)</f>
        <v/>
      </c>
      <c r="E43" s="25">
        <f>D43+MAX(0,-E34)</f>
        <v/>
      </c>
      <c r="F43" s="25">
        <f>E43+MAX(0,-F34)</f>
        <v/>
      </c>
      <c r="G43" s="25">
        <f>F43+MAX(0,-G34)</f>
        <v/>
      </c>
    </row>
    <row r="44" ht="22" customHeight="1">
      <c r="A44" s="12" t="inlineStr">
        <is>
          <t>Shareholders Equity</t>
        </is>
      </c>
      <c r="B44" s="25">
        <f>$B$14</f>
        <v/>
      </c>
      <c r="C44" s="25">
        <f>B44+C35</f>
        <v/>
      </c>
      <c r="D44" s="25">
        <f>C44+D35</f>
        <v/>
      </c>
      <c r="E44" s="25">
        <f>D44+E35</f>
        <v/>
      </c>
      <c r="F44" s="25">
        <f>E44+F35</f>
        <v/>
      </c>
      <c r="G44" s="25">
        <f>F44+G35</f>
        <v/>
      </c>
    </row>
    <row r="45" ht="22" customHeight="1">
      <c r="A45" s="22" t="inlineStr">
        <is>
          <t>TOTAL FINANCING</t>
        </is>
      </c>
      <c r="B45" s="29">
        <f>B43+B44</f>
        <v/>
      </c>
      <c r="C45" s="29">
        <f>C43+C44</f>
        <v/>
      </c>
      <c r="D45" s="29">
        <f>D43+D44</f>
        <v/>
      </c>
      <c r="E45" s="29">
        <f>E43+E44</f>
        <v/>
      </c>
      <c r="F45" s="29">
        <f>F43+F44</f>
        <v/>
      </c>
      <c r="G45" s="29">
        <f>G43+G44</f>
        <v/>
      </c>
    </row>
    <row r="46" ht="22" customHeight="1">
      <c r="A46" s="23" t="inlineStr">
        <is>
          <t>Balance Check (must = 0)</t>
        </is>
      </c>
      <c r="B46" s="30">
        <f>B41-B45</f>
        <v/>
      </c>
      <c r="C46" s="30">
        <f>C41-C45</f>
        <v/>
      </c>
      <c r="D46" s="30">
        <f>D41-D45</f>
        <v/>
      </c>
      <c r="E46" s="30">
        <f>E41-E45</f>
        <v/>
      </c>
      <c r="F46" s="30">
        <f>F41-F45</f>
        <v/>
      </c>
      <c r="G46" s="30">
        <f>G41-G45</f>
        <v/>
      </c>
    </row>
  </sheetData>
  <mergeCells count="5">
    <mergeCell ref="A1:G1"/>
    <mergeCell ref="A18:G18"/>
    <mergeCell ref="A3:G3"/>
    <mergeCell ref="A29:G29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2026-05-08T20:21:06Z</dcterms:created>
  <dcterms:modified xsi:type="dcterms:W3CDTF">2026-05-08T20:21:06Z</dcterms:modified>
</cp:coreProperties>
</file>