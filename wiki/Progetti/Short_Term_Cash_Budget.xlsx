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 Term Cash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Month 1</t>
        </is>
      </c>
      <c r="C1" s="1" t="inlineStr">
        <is>
          <t>Month 2</t>
        </is>
      </c>
      <c r="D1" s="1" t="inlineStr">
        <is>
          <t>Month 3</t>
        </is>
      </c>
      <c r="E1" s="1" t="inlineStr">
        <is>
          <t>Month 4</t>
        </is>
      </c>
      <c r="F1" s="1" t="inlineStr">
        <is>
          <t>Total</t>
        </is>
      </c>
    </row>
    <row r="2">
      <c r="A2" t="inlineStr">
        <is>
          <t>Beginning Cash Balance</t>
        </is>
      </c>
      <c r="B2" s="2" t="n">
        <v>10000</v>
      </c>
      <c r="C2" s="2">
        <f>B30</f>
        <v/>
      </c>
      <c r="D2" s="2">
        <f>C30</f>
        <v/>
      </c>
      <c r="E2" s="2">
        <f>D30</f>
        <v/>
      </c>
      <c r="F2" t="inlineStr"/>
    </row>
    <row r="3">
      <c r="A3" s="3" t="inlineStr"/>
      <c r="B3" s="3" t="inlineStr"/>
      <c r="C3" s="3" t="inlineStr"/>
      <c r="D3" s="3" t="inlineStr"/>
      <c r="E3" s="3" t="inlineStr"/>
      <c r="F3" s="3" t="inlineStr"/>
    </row>
    <row r="4">
      <c r="A4" t="inlineStr">
        <is>
          <t>CASH INFLOWS</t>
        </is>
      </c>
      <c r="B4" t="inlineStr"/>
      <c r="C4" t="inlineStr"/>
      <c r="D4" t="inlineStr"/>
      <c r="E4" t="inlineStr"/>
      <c r="F4" t="inlineStr"/>
    </row>
    <row r="5">
      <c r="A5" t="inlineStr">
        <is>
          <t>Cash Sales</t>
        </is>
      </c>
      <c r="B5" s="2" t="n">
        <v>20000</v>
      </c>
      <c r="C5" s="2" t="n">
        <v>24000</v>
      </c>
      <c r="D5" s="2" t="n">
        <v>22000</v>
      </c>
      <c r="E5" s="2" t="n">
        <v>26000</v>
      </c>
      <c r="F5" s="2">
        <f>SUM(B5:E5)</f>
        <v/>
      </c>
    </row>
    <row r="6">
      <c r="A6" t="inlineStr">
        <is>
          <t>Collection of Receivables</t>
        </is>
      </c>
      <c r="B6" s="2" t="n">
        <v>15000</v>
      </c>
      <c r="C6" s="2" t="n">
        <v>30000</v>
      </c>
      <c r="D6" s="2" t="n">
        <v>36000</v>
      </c>
      <c r="E6" s="2" t="n">
        <v>33000</v>
      </c>
      <c r="F6" s="2">
        <f>SUM(B6:E6)</f>
        <v/>
      </c>
    </row>
    <row r="7">
      <c r="A7" t="inlineStr">
        <is>
          <t>Other Inflows</t>
        </is>
      </c>
      <c r="B7" s="2" t="n">
        <v>0</v>
      </c>
      <c r="C7" s="2" t="n">
        <v>0</v>
      </c>
      <c r="D7" s="2" t="n">
        <v>5000</v>
      </c>
      <c r="E7" s="2" t="n">
        <v>0</v>
      </c>
      <c r="F7" s="2">
        <f>SUM(B7:E7)</f>
        <v/>
      </c>
    </row>
    <row r="8">
      <c r="A8" s="3" t="inlineStr">
        <is>
          <t>Total Cash Inflows</t>
        </is>
      </c>
      <c r="B8" s="4">
        <f>SUM(B5:B7)</f>
        <v/>
      </c>
      <c r="C8" s="4">
        <f>SUM(C5:C7)</f>
        <v/>
      </c>
      <c r="D8" s="4">
        <f>SUM(D5:D7)</f>
        <v/>
      </c>
      <c r="E8" s="4">
        <f>SUM(E5:E7)</f>
        <v/>
      </c>
      <c r="F8" s="4">
        <f>SUM(F5:F7)</f>
        <v/>
      </c>
    </row>
    <row r="9">
      <c r="A9" t="inlineStr"/>
      <c r="B9" t="inlineStr"/>
      <c r="C9" t="inlineStr"/>
      <c r="D9" t="inlineStr"/>
      <c r="E9" t="inlineStr"/>
      <c r="F9" t="inlineStr"/>
    </row>
    <row r="10">
      <c r="A10" s="3" t="inlineStr">
        <is>
          <t>CASH AVAILABLE</t>
        </is>
      </c>
      <c r="B10" s="4">
        <f>B2+B8</f>
        <v/>
      </c>
      <c r="C10" s="4">
        <f>C2+C8</f>
        <v/>
      </c>
      <c r="D10" s="4">
        <f>D2+D8</f>
        <v/>
      </c>
      <c r="E10" s="4">
        <f>E2+E8</f>
        <v/>
      </c>
      <c r="F10" s="3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s="3" t="inlineStr">
        <is>
          <t>CASH OUTFLOWS</t>
        </is>
      </c>
      <c r="B12" s="3" t="inlineStr"/>
      <c r="C12" s="3" t="inlineStr"/>
      <c r="D12" s="3" t="inlineStr"/>
      <c r="E12" s="3" t="inlineStr"/>
      <c r="F12" s="3" t="inlineStr"/>
    </row>
    <row r="13">
      <c r="A13" t="inlineStr">
        <is>
          <t>Payments to Suppliers</t>
        </is>
      </c>
      <c r="B13" s="2" t="n">
        <v>18000</v>
      </c>
      <c r="C13" s="2" t="n">
        <v>20000</v>
      </c>
      <c r="D13" s="2" t="n">
        <v>21000</v>
      </c>
      <c r="E13" s="2" t="n">
        <v>19000</v>
      </c>
      <c r="F13" s="2">
        <f>SUM(B13:E13)</f>
        <v/>
      </c>
    </row>
    <row r="14">
      <c r="A14" t="inlineStr">
        <is>
          <t>Wages and Salaries</t>
        </is>
      </c>
      <c r="B14" s="2" t="n">
        <v>12000</v>
      </c>
      <c r="C14" s="2" t="n">
        <v>12000</v>
      </c>
      <c r="D14" s="2" t="n">
        <v>12000</v>
      </c>
      <c r="E14" s="2" t="n">
        <v>12000</v>
      </c>
      <c r="F14" s="2">
        <f>SUM(B14:E14)</f>
        <v/>
      </c>
    </row>
    <row r="15">
      <c r="A15" t="inlineStr">
        <is>
          <t>Rent and Overhead</t>
        </is>
      </c>
      <c r="B15" s="2" t="n">
        <v>4000</v>
      </c>
      <c r="C15" s="2" t="n">
        <v>4000</v>
      </c>
      <c r="D15" s="2" t="n">
        <v>4000</v>
      </c>
      <c r="E15" s="2" t="n">
        <v>4000</v>
      </c>
      <c r="F15" s="2">
        <f>SUM(B15:E15)</f>
        <v/>
      </c>
    </row>
    <row r="16">
      <c r="A16" t="inlineStr">
        <is>
          <t>Taxes</t>
        </is>
      </c>
      <c r="B16" s="2" t="n">
        <v>0</v>
      </c>
      <c r="C16" s="2" t="n">
        <v>3000</v>
      </c>
      <c r="D16" s="2" t="n">
        <v>0</v>
      </c>
      <c r="E16" s="2" t="n">
        <v>3000</v>
      </c>
      <c r="F16" s="2">
        <f>SUM(B16:E16)</f>
        <v/>
      </c>
    </row>
    <row r="17">
      <c r="A17" t="inlineStr">
        <is>
          <t>Capital Expenditures</t>
        </is>
      </c>
      <c r="B17" s="2" t="n">
        <v>0</v>
      </c>
      <c r="C17" s="2" t="n">
        <v>8000</v>
      </c>
      <c r="D17" s="2" t="n">
        <v>10000</v>
      </c>
      <c r="E17" s="2" t="n">
        <v>0</v>
      </c>
      <c r="F17" s="2">
        <f>SUM(B17:E17)</f>
        <v/>
      </c>
    </row>
    <row r="18">
      <c r="A18" s="3" t="inlineStr">
        <is>
          <t>Total Cash Outflows</t>
        </is>
      </c>
      <c r="B18" s="4">
        <f>SUM(B13:B17)</f>
        <v/>
      </c>
      <c r="C18" s="4">
        <f>SUM(C13:C17)</f>
        <v/>
      </c>
      <c r="D18" s="4">
        <f>SUM(D13:D17)</f>
        <v/>
      </c>
      <c r="E18" s="4">
        <f>SUM(E13:E17)</f>
        <v/>
      </c>
      <c r="F18" s="4">
        <f>SUM(F13:F17)</f>
        <v/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s="3" t="inlineStr">
        <is>
          <t>NET CASH FLOW</t>
        </is>
      </c>
      <c r="B20" s="4">
        <f>B8-B18</f>
        <v/>
      </c>
      <c r="C20" s="4">
        <f>C8-C18</f>
        <v/>
      </c>
      <c r="D20" s="4">
        <f>D8-D18</f>
        <v/>
      </c>
      <c r="E20" s="4">
        <f>E8-E18</f>
        <v/>
      </c>
      <c r="F20" s="4">
        <f>F8-F18</f>
        <v/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s="3" t="inlineStr">
        <is>
          <t>ENDING CASH BALANCE (Before Fin)</t>
        </is>
      </c>
      <c r="B22" s="4">
        <f>B10-B18</f>
        <v/>
      </c>
      <c r="C22" s="4">
        <f>C10-C18</f>
        <v/>
      </c>
      <c r="D22" s="4">
        <f>D10-D18</f>
        <v/>
      </c>
      <c r="E22" s="4">
        <f>E10-E18</f>
        <v/>
      </c>
      <c r="F22" s="3" t="inlineStr"/>
    </row>
    <row r="23">
      <c r="A23" t="inlineStr">
        <is>
          <t>Minimum Cash Requirement</t>
        </is>
      </c>
      <c r="B23" s="2" t="n">
        <v>10000</v>
      </c>
      <c r="C23" s="2" t="n">
        <v>10000</v>
      </c>
      <c r="D23" s="2" t="n">
        <v>10000</v>
      </c>
      <c r="E23" s="2" t="n">
        <v>10000</v>
      </c>
      <c r="F23" t="inlineStr"/>
    </row>
    <row r="24">
      <c r="A24" t="inlineStr">
        <is>
          <t>Shortfall / Surplus</t>
        </is>
      </c>
      <c r="B24" s="2">
        <f>B22-B23</f>
        <v/>
      </c>
      <c r="C24" s="2">
        <f>C22-C23</f>
        <v/>
      </c>
      <c r="D24" s="2">
        <f>D22-D23</f>
        <v/>
      </c>
      <c r="E24" s="2">
        <f>E22-E23</f>
        <v/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s="3" t="inlineStr">
        <is>
          <t>FINANCING</t>
        </is>
      </c>
      <c r="B26" s="3" t="inlineStr"/>
      <c r="C26" s="3" t="inlineStr"/>
      <c r="D26" s="3" t="inlineStr"/>
      <c r="E26" s="3" t="inlineStr"/>
      <c r="F26" s="3" t="inlineStr"/>
    </row>
    <row r="27">
      <c r="A27" t="inlineStr">
        <is>
          <t>Borrowing (If Shortfall &lt; 0)</t>
        </is>
      </c>
      <c r="B27" s="2">
        <f>IF(B24&lt;0, -B24, 0)</f>
        <v/>
      </c>
      <c r="C27" s="2">
        <f>IF(C24&lt;0, -C24, 0)</f>
        <v/>
      </c>
      <c r="D27" s="2">
        <f>IF(D24&lt;0, -D24, 0)</f>
        <v/>
      </c>
      <c r="E27" s="2">
        <f>IF(E24&lt;0, -E24, 0)</f>
        <v/>
      </c>
      <c r="F27" t="inlineStr"/>
    </row>
    <row r="28">
      <c r="A28" t="inlineStr">
        <is>
          <t>Repayments (Manual Input, use negative)</t>
        </is>
      </c>
      <c r="B28" s="2" t="n">
        <v>0</v>
      </c>
      <c r="C28" s="2" t="n">
        <v>0</v>
      </c>
      <c r="D28" s="2" t="n">
        <v>0</v>
      </c>
      <c r="E28" s="2" t="n">
        <v>0</v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s="3" t="inlineStr">
        <is>
          <t>ENDING CASH BALANCE (After Fin)</t>
        </is>
      </c>
      <c r="B30" s="4">
        <f>B22+B27+B28</f>
        <v/>
      </c>
      <c r="C30" s="4">
        <f>C22+C27+C28</f>
        <v/>
      </c>
      <c r="D30" s="4">
        <f>D22+D27+D28</f>
        <v/>
      </c>
      <c r="E30" s="4">
        <f>E22+E27+E28</f>
        <v/>
      </c>
      <c r="F3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2026-04-30T12:33:03Z</dcterms:created>
  <dcterms:modified xsi:type="dcterms:W3CDTF">2026-04-30T12:33:03Z</dcterms:modified>
</cp:coreProperties>
</file>